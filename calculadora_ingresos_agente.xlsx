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lculadora" sheetId="2" state="visible" r:id="rId4"/>
    <sheet name="Parametros_M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Reparto de salida del agente. Dato del Market Center.</t>
        </r>
      </text>
    </comment>
    <comment ref="B7" authorId="0">
      <text>
        <r>
          <rPr>
            <sz val="10"/>
            <rFont val="Arial"/>
            <family val="2"/>
          </rPr>
          <t xml:space="preserve">Tope de aportación anual (cap). Dato del Market Center.</t>
        </r>
      </text>
    </comment>
  </commentList>
</comments>
</file>

<file path=xl/sharedStrings.xml><?xml version="1.0" encoding="utf-8"?>
<sst xmlns="http://schemas.openxmlformats.org/spreadsheetml/2006/main" count="91" uniqueCount="91">
  <si>
    <t xml:space="preserve">CÓMO SE USA</t>
  </si>
  <si>
    <t xml:space="preserve">PARA EL AGENTE</t>
  </si>
  <si>
    <t xml:space="preserve">1. Ve a la hoja "Calculadora".</t>
  </si>
  <si>
    <t xml:space="preserve">2. Rellena solo las cuatro celdas AMARILLAS de la sección 1. La columna "Ejemplo" te enseña el formato que espera cada una.</t>
  </si>
  <si>
    <t xml:space="preserve">3. El resto se calcula solo. No hace falta que toques nada más.</t>
  </si>
  <si>
    <t xml:space="preserve">4. Nada de lo que escribas sale de este archivo. No se envía a ningún sitio, no lleva macros y no necesitas compartir ninguna cifra con nadie.</t>
  </si>
  <si>
    <t xml:space="preserve">PARA LA TEAM LEADER — ANTES DE ENVIARLO</t>
  </si>
  <si>
    <t xml:space="preserve">1. Abre la hoja "Parametros_MC" y rellena las cinco celdas amarillas con los datos REALES de tu Market Center.</t>
  </si>
  <si>
    <t xml:space="preserve">2. Comprueba la fila "Honorarios anuales necesarios para alcanzar el tope": es el número sobre el que va a girar la conversación.</t>
  </si>
  <si>
    <t xml:space="preserve">3. Guarda y envía. Si quieres, oculta la hoja "Parametros_MC" (clic derecho en la pestaña → Ocultar) para que el agente vea solo su calculadora.</t>
  </si>
  <si>
    <t xml:space="preserve">4. No envíes el archivo con los parámetros vacíos: saldrían ceros y perderías la conversación.</t>
  </si>
  <si>
    <t xml:space="preserve">LEYENDA DE COLORES</t>
  </si>
  <si>
    <t xml:space="preserve">Amarillo con texto azul  →  celdas que se rellenan a mano.</t>
  </si>
  <si>
    <t xml:space="preserve">Texto negro  →  fórmulas. No las toques.</t>
  </si>
  <si>
    <t xml:space="preserve">Texto verde  →  fórmulas que leen los parámetros del Market Center.</t>
  </si>
  <si>
    <t xml:space="preserve">Gris  →  columna de ejemplo y notas aclaratorias.</t>
  </si>
  <si>
    <t xml:space="preserve">¿CUÁNTO TE QUEDARÍAS CON OTRO MODELO?</t>
  </si>
  <si>
    <t xml:space="preserve">Rellena solo las celdas AMARILLAS. Nada de lo que escribas sale de este archivo: no se envía a ningún sitio y no hace falta que compartas ni un número.</t>
  </si>
  <si>
    <t xml:space="preserve">1 · TUS NÚMEROS</t>
  </si>
  <si>
    <t xml:space="preserve">Concepto</t>
  </si>
  <si>
    <t xml:space="preserve">Tu dato</t>
  </si>
  <si>
    <t xml:space="preserve">Ejemplo</t>
  </si>
  <si>
    <t xml:space="preserve">Nota</t>
  </si>
  <si>
    <t xml:space="preserve">Operaciones cerradas en los últimos 12 meses</t>
  </si>
  <si>
    <t xml:space="preserve">Compraventas y alquileres que hayas facturado.</t>
  </si>
  <si>
    <t xml:space="preserve">Honorarios medios por operación (€)</t>
  </si>
  <si>
    <t xml:space="preserve">Lo que factura la agencia por la operación, NO lo que cobras tú.</t>
  </si>
  <si>
    <t xml:space="preserve">% de los honorarios que te quedas hoy</t>
  </si>
  <si>
    <t xml:space="preserve">Tu reparto actual. Si te quedas 4.000 € de unos honorarios de 10.000 €, es 40%.</t>
  </si>
  <si>
    <t xml:space="preserve">Costes fijos que pagas tú al año (€)</t>
  </si>
  <si>
    <t xml:space="preserve">Puesto, portales, fotografía, marketing, cuotas. Lo que sale de tu bolsillo.</t>
  </si>
  <si>
    <t xml:space="preserve">Honorarios totales que generas al año</t>
  </si>
  <si>
    <t xml:space="preserve">Es la cifra que factura tu agencia gracias a tu trabajo.</t>
  </si>
  <si>
    <t xml:space="preserve">2 · LO QUE TE QUEDA HOY</t>
  </si>
  <si>
    <t xml:space="preserve">Te quedas (antes de costes)</t>
  </si>
  <si>
    <t xml:space="preserve">Menos tus costes fijos</t>
  </si>
  <si>
    <t xml:space="preserve">NETO ACTUAL</t>
  </si>
  <si>
    <t xml:space="preserve">3 · LO QUE TE QUEDARÍA CON ESTE MODELO</t>
  </si>
  <si>
    <t xml:space="preserve">Honorarios totales que generas</t>
  </si>
  <si>
    <t xml:space="preserve">Los mismos honorarios: cambia el reparto, no tu trabajo.</t>
  </si>
  <si>
    <t xml:space="preserve">Menos tu aportación al MC (con tope aplicado)</t>
  </si>
  <si>
    <t xml:space="preserve">ESTA ES LA LÍNEA CLAVE: la aportación tiene tope. Al alcanzarlo, deja de descontarse.</t>
  </si>
  <si>
    <t xml:space="preserve">Menos royalty (con tope aplicado)</t>
  </si>
  <si>
    <t xml:space="preserve">Menos cuotas fijas del MC</t>
  </si>
  <si>
    <t xml:space="preserve">Ojo: aquí ya no pagas portales ni fotografía. Eso lo cubre el MC.</t>
  </si>
  <si>
    <t xml:space="preserve">NETO CON ESTE MODELO</t>
  </si>
  <si>
    <t xml:space="preserve">4 · LA DIFERENCIA</t>
  </si>
  <si>
    <t xml:space="preserve">Diferencia al año</t>
  </si>
  <si>
    <t xml:space="preserve">Diferencia en porcentaje</t>
  </si>
  <si>
    <t xml:space="preserve">% efectivo que te quedas hoy</t>
  </si>
  <si>
    <t xml:space="preserve">% efectivo que te quedarías</t>
  </si>
  <si>
    <t xml:space="preserve">5 · EL TOPE (lo que casi nadie mira)</t>
  </si>
  <si>
    <t xml:space="preserve">Honorarios necesarios para alcanzar el tope</t>
  </si>
  <si>
    <t xml:space="preserve">Operaciones que te hacen falta para eso</t>
  </si>
  <si>
    <t xml:space="preserve">Con tus honorarios medios actuales.</t>
  </si>
  <si>
    <t xml:space="preserve">¿Llegas al tope con tu producción de hoy?</t>
  </si>
  <si>
    <t xml:space="preserve">Lo que te quedas de cada euro pasado el tope</t>
  </si>
  <si>
    <t xml:space="preserve">Pasado el tope dejas de aportar al MC y solo te descuentan el royalty. Cuando el royalty también agota su tope, te quedas el 100%.</t>
  </si>
  <si>
    <t xml:space="preserve">6 · Y SI CRECES (o si tienes un año flojo)</t>
  </si>
  <si>
    <t xml:space="preserve">Escenario</t>
  </si>
  <si>
    <t xml:space="preserve">Honorarios generados</t>
  </si>
  <si>
    <t xml:space="preserve">Neto hoy</t>
  </si>
  <si>
    <t xml:space="preserve">Neto con este modelo</t>
  </si>
  <si>
    <t xml:space="preserve">Diferencia</t>
  </si>
  <si>
    <t xml:space="preserve">Año flojo (-40%)</t>
  </si>
  <si>
    <t xml:space="preserve">Algo peor (-20%)</t>
  </si>
  <si>
    <t xml:space="preserve">Como ahora</t>
  </si>
  <si>
    <t xml:space="preserve">Creciendo (+25%)</t>
  </si>
  <si>
    <t xml:space="preserve">Buen año (+50%)</t>
  </si>
  <si>
    <t xml:space="preserve">El doble</t>
  </si>
  <si>
    <t xml:space="preserve">Fíjate en cómo se abre la diferencia cuanto más produces: es el efecto del tope. En los años flojos los dos modelos se parecen; en los buenos, no.</t>
  </si>
  <si>
    <t xml:space="preserve">Supuestos: el cálculo asume que mantienes el mismo número de operaciones y los mismos honorarios medios en los dos modelos, y no incluye el reparto de beneficios ni los ingresos por referencias. Los parámetros del Market Center están en la hoja "Parametros_MC" y los ha introducido la Team Leader.</t>
  </si>
  <si>
    <t xml:space="preserve">PARÁMETROS DEL MARKET CENTER — rellena esto ANTES de enviar el archivo</t>
  </si>
  <si>
    <t xml:space="preserve">⚠️  Las celdas amarillas vienen VACÍAS a propósito. No invento las cifras de tu Market Center: cada MC tiene las suyas. Pon las reales antes de mandar el archivo a un candidato — si envías un número que luego no puedes sostener, pierdes al agente y la credibilidad corre entre la competencia.</t>
  </si>
  <si>
    <t xml:space="preserve">Parámetro</t>
  </si>
  <si>
    <t xml:space="preserve">Valor</t>
  </si>
  <si>
    <t xml:space="preserve">Qué poner aquí</t>
  </si>
  <si>
    <t xml:space="preserve">% de los honorarios que se queda el agente (antes del tope)</t>
  </si>
  <si>
    <t xml:space="preserve">El reparto de salida. Si el agente se queda el 70%, escribe 70%.</t>
  </si>
  <si>
    <t xml:space="preserve">Tope anual de aportación del agente al MC (cap, €)</t>
  </si>
  <si>
    <t xml:space="preserve">Lo máximo que el agente aporta al MC en su año de aniversario. Al alcanzarlo, deja de aportar.</t>
  </si>
  <si>
    <t xml:space="preserve">% de royalty sobre honorarios</t>
  </si>
  <si>
    <t xml:space="preserve">El porcentaje que va a la franquicia. Si no aplica en tu modelo, pon 0%.</t>
  </si>
  <si>
    <t xml:space="preserve">Tope anual de royalty (€)</t>
  </si>
  <si>
    <t xml:space="preserve">Lo máximo de royalty al año. Si no tiene tope, pon un número muy alto (p. ej. 999999).</t>
  </si>
  <si>
    <t xml:space="preserve">Cuotas fijas anuales del agente en el MC (€)</t>
  </si>
  <si>
    <t xml:space="preserve">Suma de cuotas, tecnología o puesto que paga el agente al año. Si el MC lo cubre todo, pon 0.</t>
  </si>
  <si>
    <t xml:space="preserve">COMPROBACIÓN</t>
  </si>
  <si>
    <t xml:space="preserve">Honorarios anuales necesarios para alcanzar el tope</t>
  </si>
  <si>
    <t xml:space="preserve">A partir de esta cifra de honorarios generados, el agente deja de aportar al MC. Es el número que más mueve la conversación.</t>
  </si>
  <si>
    <t xml:space="preserve">Fuente de los parámetros: datos del Market Center, introducidos por la Team Leader.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</si>
</sst>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&quot; €&quot;;\(#,##0&quot; €)&quot;;\-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B70000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777777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B7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B7000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70000"/>
        <bgColor rgb="FF800000"/>
      </patternFill>
    </fill>
    <fill>
      <patternFill patternType="solid">
        <fgColor rgb="FF334155"/>
        <bgColor rgb="FF555555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7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30" hidden="false" customHeight="tru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6</v>
      </c>
    </row>
    <row r="10" customFormat="false" ht="30" hidden="false" customHeight="true" outlineLevel="0" collapsed="false">
      <c r="A10" s="3" t="s">
        <v>7</v>
      </c>
    </row>
    <row r="11" customFormat="false" ht="30" hidden="false" customHeight="true" outlineLevel="0" collapsed="false">
      <c r="A11" s="3" t="s">
        <v>8</v>
      </c>
    </row>
    <row r="12" customFormat="false" ht="30" hidden="false" customHeight="true" outlineLevel="0" collapsed="false">
      <c r="A12" s="3" t="s">
        <v>9</v>
      </c>
    </row>
    <row r="13" customFormat="false" ht="30" hidden="false" customHeight="true" outlineLevel="0" collapsed="false">
      <c r="A13" s="4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4"/>
    <col collapsed="false" customWidth="true" hidden="false" outlineLevel="0" max="5" min="5" style="0" width="20"/>
  </cols>
  <sheetData>
    <row r="1" customFormat="false" ht="33.75" hidden="false" customHeight="true" outlineLevel="0" collapsed="false">
      <c r="A1" s="7" t="s">
        <v>16</v>
      </c>
      <c r="B1" s="7"/>
      <c r="C1" s="7"/>
      <c r="D1" s="7"/>
    </row>
    <row r="2" customFormat="false" ht="27.75" hidden="false" customHeight="true" outlineLevel="0" collapsed="false">
      <c r="A2" s="8" t="s">
        <v>17</v>
      </c>
      <c r="B2" s="8"/>
      <c r="C2" s="8"/>
      <c r="D2" s="8"/>
    </row>
    <row r="3" customFormat="false" ht="30" hidden="false" customHeight="true" outlineLevel="0" collapsed="false">
      <c r="A3" s="9" t="str">
        <f aca="false">IF(OR(Parametros_MC!$B$6=0,Parametros_MC!$B$7=0),"⚠ FALTAN LOS PARÁMETROS DEL MARKET CENTER. Los resultados de abajo NO son válidos: ve a la hoja Parametros_MC y rellena las celdas amarillas.","")</f>
        <v>⚠ FALTAN LOS PARÁMETROS DEL MARKET CENTER. Los resultados de abajo NO son válidos: ve a la hoja Parametros_MC y rellena las celdas amarillas.</v>
      </c>
      <c r="B3" s="9"/>
      <c r="C3" s="9"/>
      <c r="D3" s="9"/>
    </row>
    <row r="4" customFormat="false" ht="19.5" hidden="false" customHeight="true" outlineLevel="0" collapsed="false">
      <c r="A4" s="10" t="s">
        <v>18</v>
      </c>
      <c r="B4" s="10"/>
      <c r="C4" s="10"/>
      <c r="D4" s="10"/>
    </row>
    <row r="5" customFormat="false" ht="15" hidden="false" customHeight="false" outlineLevel="0" collapsed="false">
      <c r="A5" s="11" t="s">
        <v>19</v>
      </c>
      <c r="B5" s="11" t="s">
        <v>20</v>
      </c>
      <c r="C5" s="11" t="s">
        <v>21</v>
      </c>
      <c r="D5" s="11" t="s">
        <v>22</v>
      </c>
    </row>
    <row r="6" customFormat="false" ht="27.75" hidden="false" customHeight="true" outlineLevel="0" collapsed="false">
      <c r="A6" s="12" t="s">
        <v>23</v>
      </c>
      <c r="B6" s="13"/>
      <c r="C6" s="14" t="n">
        <v>12</v>
      </c>
      <c r="D6" s="6" t="s">
        <v>24</v>
      </c>
    </row>
    <row r="7" customFormat="false" ht="27.75" hidden="false" customHeight="true" outlineLevel="0" collapsed="false">
      <c r="A7" s="12" t="s">
        <v>25</v>
      </c>
      <c r="B7" s="15"/>
      <c r="C7" s="16" t="n">
        <v>18000</v>
      </c>
      <c r="D7" s="6" t="s">
        <v>26</v>
      </c>
    </row>
    <row r="8" customFormat="false" ht="27.75" hidden="false" customHeight="true" outlineLevel="0" collapsed="false">
      <c r="A8" s="12" t="s">
        <v>27</v>
      </c>
      <c r="B8" s="17"/>
      <c r="C8" s="18" t="n">
        <v>0.4</v>
      </c>
      <c r="D8" s="6" t="s">
        <v>28</v>
      </c>
    </row>
    <row r="9" customFormat="false" ht="27.75" hidden="false" customHeight="true" outlineLevel="0" collapsed="false">
      <c r="A9" s="12" t="s">
        <v>29</v>
      </c>
      <c r="B9" s="15"/>
      <c r="C9" s="16" t="n">
        <v>2400</v>
      </c>
      <c r="D9" s="6" t="s">
        <v>30</v>
      </c>
    </row>
    <row r="11" customFormat="false" ht="15" hidden="false" customHeight="false" outlineLevel="0" collapsed="false">
      <c r="A11" s="11" t="s">
        <v>31</v>
      </c>
      <c r="B11" s="19" t="n">
        <f aca="false">B6*B7</f>
        <v>0</v>
      </c>
      <c r="C11" s="16" t="n">
        <f aca="false">C6*C7</f>
        <v>216000</v>
      </c>
      <c r="D11" s="20" t="s">
        <v>32</v>
      </c>
    </row>
    <row r="13" customFormat="false" ht="19.5" hidden="false" customHeight="true" outlineLevel="0" collapsed="false">
      <c r="A13" s="10" t="s">
        <v>33</v>
      </c>
      <c r="B13" s="10"/>
      <c r="C13" s="10"/>
      <c r="D13" s="10"/>
    </row>
    <row r="14" customFormat="false" ht="15" hidden="false" customHeight="false" outlineLevel="0" collapsed="false">
      <c r="A14" s="12" t="s">
        <v>34</v>
      </c>
      <c r="B14" s="21" t="n">
        <f aca="false">B11*B8</f>
        <v>0</v>
      </c>
      <c r="C14" s="16" t="n">
        <f aca="false">C11*C8</f>
        <v>86400</v>
      </c>
    </row>
    <row r="15" customFormat="false" ht="15" hidden="false" customHeight="false" outlineLevel="0" collapsed="false">
      <c r="A15" s="12" t="s">
        <v>35</v>
      </c>
      <c r="B15" s="21" t="n">
        <f aca="false">-B9</f>
        <v>-0</v>
      </c>
      <c r="C15" s="16" t="n">
        <f aca="false">-C9</f>
        <v>-2400</v>
      </c>
    </row>
    <row r="16" customFormat="false" ht="15" hidden="false" customHeight="false" outlineLevel="0" collapsed="false">
      <c r="A16" s="22" t="s">
        <v>36</v>
      </c>
      <c r="B16" s="23" t="n">
        <f aca="false">SUM(B14:B15)</f>
        <v>0</v>
      </c>
      <c r="C16" s="16" t="n">
        <f aca="false">SUM(C14:C15)</f>
        <v>84000</v>
      </c>
    </row>
    <row r="18" customFormat="false" ht="19.5" hidden="false" customHeight="true" outlineLevel="0" collapsed="false">
      <c r="A18" s="10" t="s">
        <v>37</v>
      </c>
      <c r="B18" s="10"/>
      <c r="C18" s="10"/>
      <c r="D18" s="10"/>
    </row>
    <row r="19" customFormat="false" ht="15" hidden="false" customHeight="false" outlineLevel="0" collapsed="false">
      <c r="A19" s="12" t="s">
        <v>38</v>
      </c>
      <c r="B19" s="21" t="n">
        <f aca="false">B11</f>
        <v>0</v>
      </c>
      <c r="C19" s="16" t="n">
        <f aca="false">C11</f>
        <v>216000</v>
      </c>
      <c r="D19" s="20" t="s">
        <v>39</v>
      </c>
    </row>
    <row r="20" customFormat="false" ht="27.75" hidden="false" customHeight="true" outlineLevel="0" collapsed="false">
      <c r="A20" s="12" t="s">
        <v>40</v>
      </c>
      <c r="B20" s="24" t="n">
        <f aca="false">-MIN(B19*(1-Parametros_MC!$B$6),Parametros_MC!$B$7)</f>
        <v>-0</v>
      </c>
      <c r="C20" s="16" t="n">
        <f aca="false">-MIN(C19*(1-Parametros_MC!$B$6),Parametros_MC!$B$7)</f>
        <v>-216000</v>
      </c>
      <c r="D20" s="25" t="s">
        <v>41</v>
      </c>
    </row>
    <row r="21" customFormat="false" ht="15" hidden="false" customHeight="false" outlineLevel="0" collapsed="false">
      <c r="A21" s="12" t="s">
        <v>42</v>
      </c>
      <c r="B21" s="24" t="n">
        <f aca="false">-MIN(B19*Parametros_MC!$B$8,Parametros_MC!$B$9)</f>
        <v>-0</v>
      </c>
      <c r="C21" s="16" t="n">
        <f aca="false">-MIN(C19*Parametros_MC!$B$8,Parametros_MC!$B$9)</f>
        <v>-0</v>
      </c>
    </row>
    <row r="22" customFormat="false" ht="15" hidden="false" customHeight="false" outlineLevel="0" collapsed="false">
      <c r="A22" s="12" t="s">
        <v>43</v>
      </c>
      <c r="B22" s="24" t="n">
        <f aca="false">-Parametros_MC!$B$10</f>
        <v>-0</v>
      </c>
      <c r="C22" s="16" t="n">
        <f aca="false">-Parametros_MC!$B$10</f>
        <v>-0</v>
      </c>
      <c r="D22" s="6" t="s">
        <v>44</v>
      </c>
    </row>
    <row r="23" customFormat="false" ht="15" hidden="false" customHeight="false" outlineLevel="0" collapsed="false">
      <c r="A23" s="22" t="s">
        <v>45</v>
      </c>
      <c r="B23" s="26" t="n">
        <f aca="false">B19+B20+B21+B22</f>
        <v>0</v>
      </c>
      <c r="C23" s="16" t="n">
        <f aca="false">C19+C20+C21+C22</f>
        <v>0</v>
      </c>
    </row>
    <row r="25" customFormat="false" ht="19.5" hidden="false" customHeight="true" outlineLevel="0" collapsed="false">
      <c r="A25" s="10" t="s">
        <v>46</v>
      </c>
      <c r="B25" s="10"/>
      <c r="C25" s="10"/>
      <c r="D25" s="10"/>
    </row>
    <row r="26" customFormat="false" ht="24" hidden="false" customHeight="true" outlineLevel="0" collapsed="false">
      <c r="A26" s="22" t="s">
        <v>47</v>
      </c>
      <c r="B26" s="27" t="n">
        <f aca="false">B23-B16</f>
        <v>0</v>
      </c>
      <c r="C26" s="16" t="n">
        <f aca="false">C23-C16</f>
        <v>-84000</v>
      </c>
    </row>
    <row r="27" customFormat="false" ht="15" hidden="false" customHeight="false" outlineLevel="0" collapsed="false">
      <c r="A27" s="12" t="s">
        <v>48</v>
      </c>
      <c r="B27" s="28" t="str">
        <f aca="false">IFERROR(IF(B16&lt;=0,"—",B26/B16),"—")</f>
        <v>—</v>
      </c>
    </row>
    <row r="28" customFormat="false" ht="15" hidden="false" customHeight="false" outlineLevel="0" collapsed="false">
      <c r="A28" s="12" t="s">
        <v>49</v>
      </c>
      <c r="B28" s="29" t="str">
        <f aca="false">IFERROR(IF(B11&lt;=0,"—",B16/B11),"—")</f>
        <v>—</v>
      </c>
    </row>
    <row r="29" customFormat="false" ht="15" hidden="false" customHeight="false" outlineLevel="0" collapsed="false">
      <c r="A29" s="12" t="s">
        <v>50</v>
      </c>
      <c r="B29" s="28" t="str">
        <f aca="false">IFERROR(IF(B11&lt;=0,"—",B23/B11),"—")</f>
        <v>—</v>
      </c>
    </row>
    <row r="31" customFormat="false" ht="19.5" hidden="false" customHeight="true" outlineLevel="0" collapsed="false">
      <c r="A31" s="10" t="s">
        <v>51</v>
      </c>
      <c r="B31" s="10"/>
      <c r="C31" s="10"/>
      <c r="D31" s="10"/>
    </row>
    <row r="32" customFormat="false" ht="15" hidden="false" customHeight="false" outlineLevel="0" collapsed="false">
      <c r="A32" s="12" t="s">
        <v>52</v>
      </c>
      <c r="B32" s="24" t="n">
        <f aca="false">IFERROR(IF((1-Parametros_MC!$B$6)&lt;=0,"—",Parametros_MC!$B$7/(1-Parametros_MC!$B$6)),"—")</f>
        <v>0</v>
      </c>
    </row>
    <row r="33" customFormat="false" ht="15" hidden="false" customHeight="false" outlineLevel="0" collapsed="false">
      <c r="A33" s="12" t="s">
        <v>53</v>
      </c>
      <c r="B33" s="30" t="str">
        <f aca="false">IFERROR(IF(OR(B7&lt;=0,NOT(ISNUMBER(B32))),"—",B32/B7),"—")</f>
        <v>—</v>
      </c>
      <c r="D33" s="20" t="s">
        <v>54</v>
      </c>
    </row>
    <row r="34" customFormat="false" ht="15" hidden="false" customHeight="false" outlineLevel="0" collapsed="false">
      <c r="A34" s="11" t="s">
        <v>55</v>
      </c>
      <c r="B34" s="11" t="str">
        <f aca="false">IFERROR(IF(NOT(ISNUMBER(B32)),"—",IF(B11&gt;=B32,"SÍ","Todavía no")),"—")</f>
        <v>SÍ</v>
      </c>
    </row>
    <row r="35" customFormat="false" ht="27.75" hidden="false" customHeight="true" outlineLevel="0" collapsed="false">
      <c r="A35" s="12" t="s">
        <v>56</v>
      </c>
      <c r="B35" s="28" t="n">
        <f aca="false">IFERROR(1-Parametros_MC!$B$8,"—")</f>
        <v>1</v>
      </c>
      <c r="D35" s="6" t="s">
        <v>57</v>
      </c>
    </row>
    <row r="37" customFormat="false" ht="19.5" hidden="false" customHeight="true" outlineLevel="0" collapsed="false">
      <c r="A37" s="10" t="s">
        <v>58</v>
      </c>
      <c r="B37" s="10"/>
      <c r="C37" s="10"/>
      <c r="D37" s="10"/>
    </row>
    <row r="38" customFormat="false" ht="15" hidden="false" customHeight="false" outlineLevel="0" collapsed="false">
      <c r="A38" s="31" t="s">
        <v>59</v>
      </c>
      <c r="B38" s="31" t="s">
        <v>60</v>
      </c>
      <c r="C38" s="31" t="s">
        <v>61</v>
      </c>
      <c r="D38" s="31" t="s">
        <v>62</v>
      </c>
      <c r="E38" s="31" t="s">
        <v>63</v>
      </c>
    </row>
    <row r="39" customFormat="false" ht="15" hidden="false" customHeight="false" outlineLevel="0" collapsed="false">
      <c r="A39" s="32" t="s">
        <v>64</v>
      </c>
      <c r="B39" s="33" t="n">
        <f aca="false">$B$11*0.6</f>
        <v>0</v>
      </c>
      <c r="C39" s="33" t="n">
        <f aca="false">$B$11*0.6*$B$8-$B$9</f>
        <v>0</v>
      </c>
      <c r="D39" s="33" t="n">
        <f aca="false">$B$11*0.6-MIN($B$11*0.6*(1-Parametros_MC!$B$6),Parametros_MC!$B$7)-MIN($B$11*0.6*Parametros_MC!$B$8,Parametros_MC!$B$9)-Parametros_MC!$B$10</f>
        <v>0</v>
      </c>
      <c r="E39" s="34" t="n">
        <f aca="false">D39-C39</f>
        <v>0</v>
      </c>
    </row>
    <row r="40" customFormat="false" ht="15" hidden="false" customHeight="false" outlineLevel="0" collapsed="false">
      <c r="A40" s="32" t="s">
        <v>65</v>
      </c>
      <c r="B40" s="33" t="n">
        <f aca="false">$B$11*0.8</f>
        <v>0</v>
      </c>
      <c r="C40" s="33" t="n">
        <f aca="false">$B$11*0.8*$B$8-$B$9</f>
        <v>0</v>
      </c>
      <c r="D40" s="33" t="n">
        <f aca="false">$B$11*0.8-MIN($B$11*0.8*(1-Parametros_MC!$B$6),Parametros_MC!$B$7)-MIN($B$11*0.8*Parametros_MC!$B$8,Parametros_MC!$B$9)-Parametros_MC!$B$10</f>
        <v>0</v>
      </c>
      <c r="E40" s="34" t="n">
        <f aca="false">D40-C40</f>
        <v>0</v>
      </c>
    </row>
    <row r="41" customFormat="false" ht="15" hidden="false" customHeight="false" outlineLevel="0" collapsed="false">
      <c r="A41" s="35" t="s">
        <v>66</v>
      </c>
      <c r="B41" s="36" t="n">
        <f aca="false">$B$11*1</f>
        <v>0</v>
      </c>
      <c r="C41" s="36" t="n">
        <f aca="false">$B$11*1*$B$8-$B$9</f>
        <v>0</v>
      </c>
      <c r="D41" s="36" t="n">
        <f aca="false">$B$11*1-MIN($B$11*1*(1-Parametros_MC!$B$6),Parametros_MC!$B$7)-MIN($B$11*1*Parametros_MC!$B$8,Parametros_MC!$B$9)-Parametros_MC!$B$10</f>
        <v>0</v>
      </c>
      <c r="E41" s="37" t="n">
        <f aca="false">D41-C41</f>
        <v>0</v>
      </c>
    </row>
    <row r="42" customFormat="false" ht="15" hidden="false" customHeight="false" outlineLevel="0" collapsed="false">
      <c r="A42" s="32" t="s">
        <v>67</v>
      </c>
      <c r="B42" s="33" t="n">
        <f aca="false">$B$11*1.25</f>
        <v>0</v>
      </c>
      <c r="C42" s="33" t="n">
        <f aca="false">$B$11*1.25*$B$8-$B$9</f>
        <v>0</v>
      </c>
      <c r="D42" s="33" t="n">
        <f aca="false">$B$11*1.25-MIN($B$11*1.25*(1-Parametros_MC!$B$6),Parametros_MC!$B$7)-MIN($B$11*1.25*Parametros_MC!$B$8,Parametros_MC!$B$9)-Parametros_MC!$B$10</f>
        <v>0</v>
      </c>
      <c r="E42" s="34" t="n">
        <f aca="false">D42-C42</f>
        <v>0</v>
      </c>
    </row>
    <row r="43" customFormat="false" ht="15" hidden="false" customHeight="false" outlineLevel="0" collapsed="false">
      <c r="A43" s="32" t="s">
        <v>68</v>
      </c>
      <c r="B43" s="33" t="n">
        <f aca="false">$B$11*1.5</f>
        <v>0</v>
      </c>
      <c r="C43" s="33" t="n">
        <f aca="false">$B$11*1.5*$B$8-$B$9</f>
        <v>0</v>
      </c>
      <c r="D43" s="33" t="n">
        <f aca="false">$B$11*1.5-MIN($B$11*1.5*(1-Parametros_MC!$B$6),Parametros_MC!$B$7)-MIN($B$11*1.5*Parametros_MC!$B$8,Parametros_MC!$B$9)-Parametros_MC!$B$10</f>
        <v>0</v>
      </c>
      <c r="E43" s="34" t="n">
        <f aca="false">D43-C43</f>
        <v>0</v>
      </c>
    </row>
    <row r="44" customFormat="false" ht="15" hidden="false" customHeight="false" outlineLevel="0" collapsed="false">
      <c r="A44" s="32" t="s">
        <v>69</v>
      </c>
      <c r="B44" s="33" t="n">
        <f aca="false">$B$11*2</f>
        <v>0</v>
      </c>
      <c r="C44" s="33" t="n">
        <f aca="false">$B$11*2*$B$8-$B$9</f>
        <v>0</v>
      </c>
      <c r="D44" s="33" t="n">
        <f aca="false">$B$11*2-MIN($B$11*2*(1-Parametros_MC!$B$6),Parametros_MC!$B$7)-MIN($B$11*2*Parametros_MC!$B$8,Parametros_MC!$B$9)-Parametros_MC!$B$10</f>
        <v>0</v>
      </c>
      <c r="E44" s="34" t="n">
        <f aca="false">D44-C44</f>
        <v>0</v>
      </c>
    </row>
    <row r="46" customFormat="false" ht="25.5" hidden="false" customHeight="true" outlineLevel="0" collapsed="false">
      <c r="A46" s="38" t="s">
        <v>70</v>
      </c>
      <c r="B46" s="38"/>
      <c r="C46" s="38"/>
      <c r="D46" s="38"/>
      <c r="E46" s="38"/>
    </row>
    <row r="48" customFormat="false" ht="15" hidden="false" customHeight="true" outlineLevel="0" collapsed="false">
      <c r="A48" s="39" t="s">
        <v>71</v>
      </c>
      <c r="B48" s="39"/>
      <c r="C48" s="39"/>
      <c r="D48" s="39"/>
      <c r="E48" s="39"/>
    </row>
    <row r="49" customFormat="false" ht="15" hidden="false" customHeight="false" outlineLevel="0" collapsed="false">
      <c r="A49" s="39"/>
      <c r="B49" s="39"/>
      <c r="C49" s="39"/>
      <c r="D49" s="39"/>
      <c r="E49" s="39"/>
    </row>
  </sheetData>
  <mergeCells count="11">
    <mergeCell ref="A1:D1"/>
    <mergeCell ref="A2:D2"/>
    <mergeCell ref="A3:D3"/>
    <mergeCell ref="A4:D4"/>
    <mergeCell ref="A13:D13"/>
    <mergeCell ref="A18:D18"/>
    <mergeCell ref="A25:D25"/>
    <mergeCell ref="A31:D31"/>
    <mergeCell ref="A37:D37"/>
    <mergeCell ref="A46:E46"/>
    <mergeCell ref="A48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7" t="s">
        <v>72</v>
      </c>
      <c r="B1" s="7"/>
      <c r="C1" s="7"/>
    </row>
    <row r="3" customFormat="false" ht="48" hidden="false" customHeight="true" outlineLevel="0" collapsed="false">
      <c r="A3" s="40" t="s">
        <v>73</v>
      </c>
      <c r="B3" s="40"/>
      <c r="C3" s="40"/>
    </row>
    <row r="5" customFormat="false" ht="15" hidden="false" customHeight="false" outlineLevel="0" collapsed="false">
      <c r="A5" s="31" t="s">
        <v>74</v>
      </c>
      <c r="B5" s="31" t="s">
        <v>75</v>
      </c>
      <c r="C5" s="31" t="s">
        <v>76</v>
      </c>
    </row>
    <row r="6" customFormat="false" ht="30" hidden="false" customHeight="true" outlineLevel="0" collapsed="false">
      <c r="A6" s="12" t="s">
        <v>77</v>
      </c>
      <c r="B6" s="17"/>
      <c r="C6" s="6" t="s">
        <v>78</v>
      </c>
    </row>
    <row r="7" customFormat="false" ht="30" hidden="false" customHeight="true" outlineLevel="0" collapsed="false">
      <c r="A7" s="12" t="s">
        <v>79</v>
      </c>
      <c r="B7" s="15"/>
      <c r="C7" s="6" t="s">
        <v>80</v>
      </c>
    </row>
    <row r="8" customFormat="false" ht="30" hidden="false" customHeight="true" outlineLevel="0" collapsed="false">
      <c r="A8" s="12" t="s">
        <v>81</v>
      </c>
      <c r="B8" s="17"/>
      <c r="C8" s="6" t="s">
        <v>82</v>
      </c>
    </row>
    <row r="9" customFormat="false" ht="30" hidden="false" customHeight="true" outlineLevel="0" collapsed="false">
      <c r="A9" s="12" t="s">
        <v>83</v>
      </c>
      <c r="B9" s="15"/>
      <c r="C9" s="6" t="s">
        <v>84</v>
      </c>
    </row>
    <row r="10" customFormat="false" ht="30" hidden="false" customHeight="true" outlineLevel="0" collapsed="false">
      <c r="A10" s="12" t="s">
        <v>85</v>
      </c>
      <c r="B10" s="15"/>
      <c r="C10" s="6" t="s">
        <v>86</v>
      </c>
    </row>
    <row r="13" customFormat="false" ht="15" hidden="false" customHeight="false" outlineLevel="0" collapsed="false">
      <c r="A13" s="22" t="s">
        <v>87</v>
      </c>
    </row>
    <row r="14" customFormat="false" ht="30" hidden="false" customHeight="true" outlineLevel="0" collapsed="false">
      <c r="A14" s="12" t="s">
        <v>88</v>
      </c>
      <c r="B14" s="21" t="n">
        <f aca="false">IFERROR(IF((1-B6)&lt;=0,"—",B7/(1-B6)),"—")</f>
        <v>0</v>
      </c>
      <c r="C14" s="6" t="s">
        <v>89</v>
      </c>
    </row>
    <row r="16" customFormat="false" ht="15" hidden="false" customHeight="false" outlineLevel="0" collapsed="false">
      <c r="A16" s="41" t="s">
        <v>90</v>
      </c>
      <c r="B16" s="41"/>
      <c r="C16" s="41"/>
    </row>
  </sheetData>
  <mergeCells count="3">
    <mergeCell ref="A1:C1"/>
    <mergeCell ref="A3:C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2026-10-09T20:22:02Z</dcterms:created>
  <dc:creator>openpyxl</dc:creator>
  <dc:description/>
  <dc:language>en-US</dc:language>
  <cp:lastModifiedBy/>
  <dcterms:modified xsi:type="dcterms:W3CDTF">2026-10-09T20:22:02Z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